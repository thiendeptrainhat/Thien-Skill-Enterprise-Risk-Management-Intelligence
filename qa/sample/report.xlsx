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6964fef36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0ba6f217334154"/>
    <x:sheet xmlns:r="http://schemas.openxmlformats.org/officeDocument/2006/relationships" name="Register" sheetId="2" r:id="R72b6c25c14814870"/>
    <x:sheet xmlns:r="http://schemas.openxmlformats.org/officeDocument/2006/relationships" name="Assessment" sheetId="3" r:id="R27bc205b72544254"/>
    <x:sheet xmlns:r="http://schemas.openxmlformats.org/officeDocument/2006/relationships" name="Taxonomy" sheetId="4" r:id="Rf2127e1df2df4424"/>
    <x:sheet xmlns:r="http://schemas.openxmlformats.org/officeDocument/2006/relationships" name="KRI" sheetId="5" r:id="Raa19edc1f133476b"/>
    <x:sheet xmlns:r="http://schemas.openxmlformats.org/officeDocument/2006/relationships" name="Rules" sheetId="6" r:id="Ra6f1e9d9d8204ed0"/>
    <x:sheet xmlns:r="http://schemas.openxmlformats.org/officeDocument/2006/relationships" name="Controls" sheetId="7" r:id="R702c0973808046b1"/>
    <x:sheet xmlns:r="http://schemas.openxmlformats.org/officeDocument/2006/relationships" name="Scenarios" sheetId="8" r:id="R9d73f64609014d47"/>
    <x:sheet xmlns:r="http://schemas.openxmlformats.org/officeDocument/2006/relationships" name="Treatments" sheetId="9" r:id="R14437095d7bb465b"/>
    <x:sheet xmlns:r="http://schemas.openxmlformats.org/officeDocument/2006/relationships" name="Losses" sheetId="10" r:id="Rc7a1e71ade7e45e0"/>
    <x:sheet xmlns:r="http://schemas.openxmlformats.org/officeDocument/2006/relationships" name="Observations" sheetId="11" r:id="R01ad1dc9021b42d2"/>
    <x:sheet xmlns:r="http://schemas.openxmlformats.org/officeDocument/2006/relationships" name="Sources" sheetId="12" r:id="Re3cde0dfadea4dfc"/>
    <x:sheet xmlns:r="http://schemas.openxmlformats.org/officeDocument/2006/relationships" name="Methods" sheetId="13" r:id="Rb382cb1072b547d0"/>
    <x:sheet xmlns:r="http://schemas.openxmlformats.org/officeDocument/2006/relationships" name="Dependencies" sheetId="14" r:id="R92415e5a7249469f"/>
    <x:sheet xmlns:r="http://schemas.openxmlformats.org/officeDocument/2006/relationships" name="Handoffs" sheetId="15" r:id="R812c31be8acb49d5"/>
    <x:sheet xmlns:r="http://schemas.openxmlformats.org/officeDocument/2006/relationships" name="Warnings" sheetId="16" r:id="R7e51436e1e76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8"/>
      <x:color rgb="FF142D4E"/>
      <x:name val="Arial"/>
    </x:font>
    <x:font>
      <x:b/>
      <x:sz val="22"/>
      <x:color rgb="FF142D4E"/>
      <x:name val="Arial"/>
    </x:font>
    <x:font>
      <x:b/>
      <x:sz val="11"/>
      <x:color rgb="FF142D4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2D4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A4232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e7f688f2246b1" /><Relationship Type="http://schemas.openxmlformats.org/officeDocument/2006/relationships/theme" Target="/xl/theme/theme1.xml" Id="R65c03158d5c04a3c" /><Relationship Type="http://schemas.microsoft.com/office/2022/11/relationships/FeaturePropertyBag" Target="/xl/featurePropertyBag/featurePropertyBag.xml" Id="Reff938bfafb44be6" /><Relationship Type="http://schemas.openxmlformats.org/officeDocument/2006/relationships/sharedStrings" Target="/xl/sharedStrings.xml" Id="Rcb3de0e31be347d4" /><Relationship Type="http://schemas.openxmlformats.org/officeDocument/2006/relationships/worksheet" Target="/xl/worksheets/sheet1.xml" Id="R670ba6f217334154" /><Relationship Type="http://schemas.openxmlformats.org/officeDocument/2006/relationships/worksheet" Target="/xl/worksheets/sheet2.xml" Id="R72b6c25c14814870" /><Relationship Type="http://schemas.openxmlformats.org/officeDocument/2006/relationships/worksheet" Target="/xl/worksheets/sheet3.xml" Id="R27bc205b72544254" /><Relationship Type="http://schemas.openxmlformats.org/officeDocument/2006/relationships/worksheet" Target="/xl/worksheets/sheet4.xml" Id="Rf2127e1df2df4424" /><Relationship Type="http://schemas.openxmlformats.org/officeDocument/2006/relationships/worksheet" Target="/xl/worksheets/sheet5.xml" Id="Raa19edc1f133476b" /><Relationship Type="http://schemas.openxmlformats.org/officeDocument/2006/relationships/worksheet" Target="/xl/worksheets/sheet6.xml" Id="Ra6f1e9d9d8204ed0" /><Relationship Type="http://schemas.openxmlformats.org/officeDocument/2006/relationships/worksheet" Target="/xl/worksheets/sheet7.xml" Id="R702c0973808046b1" /><Relationship Type="http://schemas.openxmlformats.org/officeDocument/2006/relationships/worksheet" Target="/xl/worksheets/sheet8.xml" Id="R9d73f64609014d47" /><Relationship Type="http://schemas.openxmlformats.org/officeDocument/2006/relationships/worksheet" Target="/xl/worksheets/sheet9.xml" Id="R14437095d7bb465b" /><Relationship Type="http://schemas.openxmlformats.org/officeDocument/2006/relationships/worksheet" Target="/xl/worksheets/sheet10.xml" Id="Rc7a1e71ade7e45e0" /><Relationship Type="http://schemas.openxmlformats.org/officeDocument/2006/relationships/worksheet" Target="/xl/worksheets/sheet11.xml" Id="R01ad1dc9021b42d2" /><Relationship Type="http://schemas.openxmlformats.org/officeDocument/2006/relationships/worksheet" Target="/xl/worksheets/sheet12.xml" Id="Re3cde0dfadea4dfc" /><Relationship Type="http://schemas.openxmlformats.org/officeDocument/2006/relationships/worksheet" Target="/xl/worksheets/sheet13.xml" Id="Rb382cb1072b547d0" /><Relationship Type="http://schemas.openxmlformats.org/officeDocument/2006/relationships/worksheet" Target="/xl/worksheets/sheet14.xml" Id="R92415e5a7249469f" /><Relationship Type="http://schemas.openxmlformats.org/officeDocument/2006/relationships/worksheet" Target="/xl/worksheets/sheet15.xml" Id="R812c31be8acb49d5" /><Relationship Type="http://schemas.openxmlformats.org/officeDocument/2006/relationships/worksheet" Target="/xl/worksheets/sheet16.xml" Id="R7e51436e1e7641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09c1edafdd2473a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4</xdr:row>
      <xdr:rowOff>0</xdr:rowOff>
    </xdr:from>
    <xdr:ext cx="1047750" cy="1047750"/>
    <xdr:pic>
      <xdr:nvPicPr>
        <xdr:cNvPr id="1" name="488baca2-6249-44d1-82b4-e2dfc0bc3a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9c1edafdd2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gisterTable" displayName="RegisterTable" ref="A3:J6" headerRowCount="1" totalsRowCount="0" totalsRowShown="0">
  <x:tableColumns count="10">
    <x:tableColumn id="1" name="id"/>
    <x:tableColumn id="2" name="title"/>
    <x:tableColumn id="3" name="owner"/>
    <x:tableColumn id="4" name="cause"/>
    <x:tableColumn id="5" name="event"/>
    <x:tableColumn id="6" name="impact"/>
    <x:tableColumn id="7" name="objective"/>
    <x:tableColumn id="8" name="appetite"/>
    <x:tableColumn id="9" name="incomplete"/>
    <x:tableColumn id="10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ssmentTable" displayName="AssessmentTable" ref="A3:L6" headerRowCount="1" totalsRowCount="0" totalsRowShown="0">
  <x:tableColumns count="12">
    <x:tableColumn id="1" name="id"/>
    <x:tableColumn id="2" name="risk_id"/>
    <x:tableColumn id="3" name="method_id"/>
    <x:tableColumn id="4" name="basis"/>
    <x:tableColumn id="5" name="as_of"/>
    <x:tableColumn id="6" name="horizon"/>
    <x:tableColumn id="7" name="impact"/>
    <x:tableColumn id="8" name="likelihood"/>
    <x:tableColumn id="9" name="rating"/>
    <x:tableColumn id="10" name="rationale"/>
    <x:tableColumn id="11" name="evidence_ids"/>
    <x:tableColumn id="12" name="approv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xonomyTable" displayName="TaxonomyTable" ref="A3:D5" headerRowCount="1" totalsRowCount="0" totalsRowShown="0">
  <x:tableColumns count="4">
    <x:tableColumn id="1" name="id"/>
    <x:tableColumn id="2" name="label"/>
    <x:tableColumn id="3" name="level"/>
    <x:tableColumn id="4" name="parent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RITable" displayName="KRITable" ref="A3:K6" headerRowCount="1" totalsRowCount="0" totalsRowShown="0">
  <x:tableColumns count="11">
    <x:tableColumn id="1" name="id"/>
    <x:tableColumn id="2" name="label"/>
    <x:tableColumn id="3" name="value"/>
    <x:tableColumn id="4" name="quality"/>
    <x:tableColumn id="5" name="approval"/>
    <x:tableColumn id="6" name="status"/>
    <x:tableColumn id="7" name="unit"/>
    <x:tableColumn id="8" name="currency"/>
    <x:tableColumn id="9" name="horizon"/>
    <x:tableColumn id="10" name="observed_at"/>
    <x:tableColumn id="11" name="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lesTable" displayName="RulesTable" ref="A3:D12" headerRowCount="1" totalsRowCount="0" totalsRowShown="0">
  <x:tableColumns count="4">
    <x:tableColumn id="1" name="metric"/>
    <x:tableColumn id="2" name="op"/>
    <x:tableColumn id="3" name="threshold"/>
    <x:tableColumn id="4" name="seve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rolsTable" displayName="ControlsTable" ref="A3:J4" headerRowCount="1" totalsRowCount="0" totalsRowShown="0">
  <x:tableColumns count="10">
    <x:tableColumn id="1" name="id"/>
    <x:tableColumn id="2" name="risk_ids"/>
    <x:tableColumn id="3" name="label"/>
    <x:tableColumn id="4" name="owner"/>
    <x:tableColumn id="5" name="state"/>
    <x:tableColumn id="6" name="design_conclusion"/>
    <x:tableColumn id="7" name="operating_conclusion"/>
    <x:tableColumn id="8" name="design_evidence_ids"/>
    <x:tableColumn id="9" name="operating_evidence_ids"/>
    <x:tableColumn id="10" name="rcs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enariosTable" displayName="ScenariosTable" ref="A3:J4" headerRowCount="1" totalsRowCount="0" totalsRowShown="0">
  <x:tableColumns count="10">
    <x:tableColumn id="1" name="id"/>
    <x:tableColumn id="2" name="label"/>
    <x:tableColumn id="3" name="kind"/>
    <x:tableColumn id="4" name="horizon"/>
    <x:tableColumn id="5" name="baseline"/>
    <x:tableColumn id="6" name="assumptions"/>
    <x:tableColumn id="7" name="transmission"/>
    <x:tableColumn id="8" name="result"/>
    <x:tableColumn id="9" name="limitations"/>
    <x:tableColumn id="10" name="evidence_id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eatmentsTable" displayName="TreatmentsTable" ref="A3:S4" headerRowCount="1" totalsRowCount="0" totalsRowShown="0">
  <x:tableColumns count="19">
    <x:tableColumn id="1" name="id"/>
    <x:tableColumn id="2" name="risk_ids"/>
    <x:tableColumn id="3" name="option"/>
    <x:tableColumn id="4" name="action"/>
    <x:tableColumn id="5" name="owner"/>
    <x:tableColumn id="6" name="deadline"/>
    <x:tableColumn id="7" name="status"/>
    <x:tableColumn id="8" name="cost"/>
    <x:tableColumn id="9" name="currency"/>
    <x:tableColumn id="10" name="lead_time"/>
    <x:tableColumn id="11" name="resource_constraint"/>
    <x:tableColumn id="12" name="secondary_risk"/>
    <x:tableColumn id="13" name="expected_benefit"/>
    <x:tableColumn id="14" name="no_action_case"/>
    <x:tableColumn id="15" name="target"/>
    <x:tableColumn id="16" name="target_assessment_ids"/>
    <x:tableColumn id="17" name="benefit_basis"/>
    <x:tableColumn id="18" name="acceptance_authority"/>
    <x:tableColumn id="19" name="evidence_id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ossesTable" displayName="LossesTable" ref="A3:H5" headerRowCount="1" totalsRowCount="0" totalsRowShown="0">
  <x:tableColumns count="8">
    <x:tableColumn id="1" name="id"/>
    <x:tableColumn id="2" name="risk_ids"/>
    <x:tableColumn id="3" name="amount"/>
    <x:tableColumn id="4" name="currency"/>
    <x:tableColumn id="5" name="horizon"/>
    <x:tableColumn id="6" name="scope"/>
    <x:tableColumn id="7" name="eliminated"/>
    <x:tableColumn id="8" name="evidence_id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ObservationsTable" displayName="ObservationsTable" ref="A3:J12" headerRowCount="1" totalsRowCount="0" totalsRowShown="0">
  <x:tableColumns count="10">
    <x:tableColumn id="1" name="id"/>
    <x:tableColumn id="2" name="metric_id"/>
    <x:tableColumn id="3" name="as_of"/>
    <x:tableColumn id="4" name="value"/>
    <x:tableColumn id="5" name="quality"/>
    <x:tableColumn id="6" name="evidence_ids"/>
    <x:tableColumn id="7" name="unit"/>
    <x:tableColumn id="8" name="currency"/>
    <x:tableColumn id="9" name="horizon"/>
    <x:tableColumn id="10" name="scop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sTable" displayName="SourcesTable" ref="A3:I4" headerRowCount="1" totalsRowCount="0" totalsRowShown="0">
  <x:tableColumns count="9">
    <x:tableColumn id="1" name="id"/>
    <x:tableColumn id="2" name="title"/>
    <x:tableColumn id="3" name="locator"/>
    <x:tableColumn id="4" name="version"/>
    <x:tableColumn id="5" name="accessed_at"/>
    <x:tableColumn id="6" name="kind"/>
    <x:tableColumn id="7" name="status"/>
    <x:tableColumn id="8" name="replaced_by"/>
    <x:tableColumn id="9" name="limitation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ethodsTable" displayName="MethodsTable" ref="A3:H4" headerRowCount="1" totalsRowCount="0" totalsRowShown="0">
  <x:tableColumns count="8">
    <x:tableColumn id="1" name="id"/>
    <x:tableColumn id="2" name="version"/>
    <x:tableColumn id="3" name="approval"/>
    <x:tableColumn id="4" name="approved_by"/>
    <x:tableColumn id="5" name="impact_levels"/>
    <x:tableColumn id="6" name="likelihood_levels"/>
    <x:tableColumn id="7" name="rating_basis"/>
    <x:tableColumn id="8" name="horiz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ependenciesTable" displayName="DependenciesTable" ref="A3:F4" headerRowCount="1" totalsRowCount="0" totalsRowShown="0">
  <x:tableColumns count="6">
    <x:tableColumn id="1" name="id"/>
    <x:tableColumn id="2" name="from_risk_id"/>
    <x:tableColumn id="3" name="to_risk_id"/>
    <x:tableColumn id="4" name="kind"/>
    <x:tableColumn id="5" name="mechanism"/>
    <x:tableColumn id="6" name="evidence_id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andoffsTable" displayName="HandoffsTable" ref="A3:Q4" headerRowCount="1" totalsRowCount="0" totalsRowShown="0">
  <x:tableColumns count="17">
    <x:tableColumn id="1" name="id"/>
    <x:tableColumn id="2" name="specialist"/>
    <x:tableColumn id="3" name="capability_status"/>
    <x:tableColumn id="4" name="version"/>
    <x:tableColumn id="5" name="question"/>
    <x:tableColumn id="6" name="target"/>
    <x:tableColumn id="7" name="horizon"/>
    <x:tableColumn id="8" name="as_of"/>
    <x:tableColumn id="9" name="input_refs"/>
    <x:tableColumn id="10" name="constraints"/>
    <x:tableColumn id="11" name="acceptance_criteria"/>
    <x:tableColumn id="12" name="output_contract"/>
    <x:tableColumn id="13" name="result_status"/>
    <x:tableColumn id="14" name="method"/>
    <x:tableColumn id="15" name="validation_status"/>
    <x:tableColumn id="16" name="limitations"/>
    <x:tableColumn id="17" name="monitoring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WarningsTable" displayName="WarningsTable" ref="A3:B4" headerRowCount="1" totalsRowCount="0" totalsRowShown="0">
  <x:tableColumns count="2">
    <x:tableColumn id="1" name="id"/>
    <x:tableColumn id="2" name="war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7e99fda4cf4a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0e5f0b4fe34c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7fc74d275342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f15c401b9540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1d5ceb40164e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744566b15546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7a53148ab84f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d5ed4bf2b445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21b94f938946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c754c2f019b4e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b64c40b01264bf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1f23c2ab65b41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7b5a07a529f45f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b4c610353d0486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6b08c00fbf74a9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ccdbc0dec844d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9" t="str">
        <x:v>ERM · Quyết định điều hành</x:v>
      </x:c>
    </x:row>
    <x:row r="2" ht="24" customHeight="1">
      <x:c r="A2" s="4" t="str">
        <x:v>SYNTHETIC · DỮ LIỆU THỬ NGHIỆM</x:v>
      </x:c>
      <x:c r="B2" s="4"/>
      <x:c r="C2" s="4"/>
      <x:c r="D2" s="4"/>
      <x:c r="E2" s="4"/>
      <x:c r="F2" s="4"/>
    </x:row>
    <x:row r="3" ht="24" customHeight="1">
      <x:c r="A3" s="4" t="str">
        <x:v>Công ty Mẫu | 2026-09-03 | Q4-2026 | VND (triệu) | v1</x:v>
      </x:c>
      <x:c r="B3" s="4"/>
      <x:c r="C3" s="4"/>
      <x:c r="D3" s="4"/>
      <x:c r="E3" s="4"/>
      <x:c r="F3" s="4"/>
    </x:row>
    <x:row r="4" ht="24" customHeight="1">
      <x:c r="A4" s="4"/>
      <x:c r="B4" s="4"/>
      <x:c r="C4" s="4"/>
      <x:c r="D4" s="4"/>
      <x:c r="E4" s="4"/>
      <x:c r="F4" s="4"/>
    </x:row>
    <x:row r="5" ht="24" customHeight="1">
      <x:c r="A5" s="11" t="str">
        <x:v>Số risk</x:v>
      </x:c>
      <x:c r="B5" s="12" t="n">
        <x:f>COUNTA('Register'!A4:A6)</x:f>
        <x:v>3</x:v>
      </x:c>
      <x:c r="C5" s="4"/>
      <x:c r="D5" s="4"/>
      <x:c r="E5" s="4"/>
      <x:c r="F5" s="4"/>
    </x:row>
    <x:row r="6" ht="24" customHeight="1">
      <x:c r="A6" s="11" t="str">
        <x:v>Metric breach</x:v>
      </x:c>
      <x:c r="B6" s="12" t="n">
        <x:f>COUNTIF('KRI'!F4:F6,"breach")+COUNTIF('KRI'!F4:F6,"capacity_breach")</x:f>
        <x:v>2</x:v>
      </x:c>
      <x:c r="C6" s="4"/>
      <x:c r="D6" s="4"/>
      <x:c r="E6" s="4"/>
      <x:c r="F6" s="4"/>
    </x:row>
    <x:row r="7" ht="24" customHeight="1">
      <x:c r="A7" s="11" t="str">
        <x:v>Metric UNKNOWN/DRAFT</x:v>
      </x:c>
      <x:c r="B7" s="12" t="n">
        <x:f>COUNTIF('KRI'!F4:F6,"UNKNOWN")+COUNTIF('KRI'!F4:F6,"DRAFT")</x:f>
        <x:v>1</x:v>
      </x:c>
      <x:c r="C7" s="4"/>
      <x:c r="D7" s="4"/>
      <x:c r="E7" s="4"/>
      <x:c r="F7" s="4"/>
    </x:row>
    <x:row r="8" ht="24" customHeight="1">
      <x:c r="A8" s="11" t="str">
        <x:v>Trạng thái đã biết</x:v>
      </x:c>
      <x:c r="B8" s="4" t="str">
        <x:v>capacity_breach</x:v>
      </x:c>
      <x:c r="C8" s="4"/>
      <x:c r="D8" s="4"/>
      <x:c r="E8" s="4"/>
      <x:c r="F8" s="4"/>
    </x:row>
    <x:row r="9" ht="24" customHeight="1">
      <x:c r="A9" s="4"/>
      <x:c r="B9" s="4"/>
      <x:c r="C9" s="4"/>
      <x:c r="D9" s="4"/>
      <x:c r="E9" s="4"/>
      <x:c r="F9" s="4"/>
    </x:row>
    <x:row r="10" ht="24" customHeight="1">
      <x:c r="A10" s="4" t="str">
        <x:v>Quyết định nguồn lực dự phòng và xử lý breach thanh khoản; chưa phê duyệt.</x:v>
      </x:c>
      <x:c r="B10" s="4"/>
      <x:c r="C10" s="4"/>
      <x:c r="D10" s="4"/>
      <x:c r="E10" s="4"/>
      <x:c r="F10" s="4"/>
    </x:row>
    <x:row r="11" ht="24" customHeight="1">
      <x:c r="A11" s="4"/>
      <x:c r="B11" s="4"/>
      <x:c r="C11" s="4"/>
      <x:c r="D11" s="4"/>
      <x:c r="E11" s="4"/>
      <x:c r="F11" s="4"/>
    </x:row>
    <x:row r="12" ht="24" customHeight="1">
      <x:c r="A12" s="4"/>
      <x:c r="B12" s="4"/>
      <x:c r="C12" s="4"/>
      <x:c r="D12" s="4"/>
      <x:c r="E12" s="4"/>
      <x:c r="F12" s="4"/>
    </x:row>
    <x:row r="13" ht="24" customHeight="1">
      <x:c r="A13" s="4"/>
      <x:c r="B13" s="4"/>
      <x:c r="C13" s="4"/>
      <x:c r="D13" s="4"/>
      <x:c r="E13" s="4"/>
      <x:c r="F13" s="4"/>
    </x:row>
    <x:row r="14" ht="24" customHeight="1">
      <x:c r="A14" s="4" t="str">
        <x:v>Snapshot đã validate; xem sheet Warnings để biết khoảng trống bằng chứng. Thay dữ liệu/method cần chạy lại validator; các output định lượng ngoài công thức trong workbook là kết quả model nhập, không phải công thức Excel.</x:v>
      </x:c>
      <x:c r="B14" s="4"/>
      <x:c r="C14" s="4"/>
      <x:c r="D14" s="4"/>
      <x:c r="E14" s="4"/>
      <x:c r="F14" s="4"/>
    </x:row>
    <x:row r="15" ht="24" customHeight="1">
      <x:c r="A15" s="4"/>
      <x:c r="B15" s="4"/>
      <x:c r="C15" s="4"/>
      <x:c r="D15" s="4"/>
      <x:c r="E15" s="4"/>
      <x:c r="F15" s="4"/>
    </x:row>
    <x:row r="16" ht="24" customHeight="1">
      <x:c r="A16" s="4"/>
      <x:c r="B16" s="4"/>
      <x:c r="C16" s="4"/>
      <x:c r="D16" s="4"/>
      <x:c r="E16" s="4"/>
      <x:c r="F16" s="4"/>
    </x:row>
    <x:row r="17" ht="24" customHeight="1">
      <x:c r="A17" s="4"/>
      <x:c r="B17" s="4"/>
      <x:c r="C17" s="4"/>
      <x:c r="D17" s="4"/>
      <x:c r="E17" s="4"/>
      <x:c r="F17" s="4"/>
    </x:row>
    <x:row r="18" ht="24" customHeight="1">
      <x:c r="A18" s="4" t="str">
        <x:v>SHA-256 8ea35412e7940ab5f83839d7febaab665d84806d4dea36239686bb7b7952d99d</x:v>
      </x:c>
      <x:c r="B18" s="4"/>
      <x:c r="C18" s="4"/>
      <x:c r="D18" s="4"/>
      <x:c r="E18" s="4"/>
      <x:c r="F18" s="4"/>
    </x:row>
    <x:row r="19" ht="24" customHeight="1">
      <x:c r="A19" s="4"/>
      <x:c r="B19" s="4"/>
      <x:c r="C19" s="4"/>
      <x:c r="D19" s="4"/>
      <x:c r="E19" s="4"/>
      <x:c r="F19" s="4"/>
    </x:row>
  </x:sheetData>
  <x:mergeCells>
    <x:mergeCell ref="A1:F1"/>
    <x:mergeCell ref="A2:F2"/>
    <x:mergeCell ref="A3:F3"/>
    <x:mergeCell ref="A10:F12"/>
    <x:mergeCell ref="A14:F16"/>
    <x:mergeCell ref="A18:F19"/>
  </x:mergeCells>
  <x:pageMargins left="0.7" right="0.7" top="0.75" bottom="0.75" header="0.3" footer="0.3"/>
  <x:drawing xmlns:r="http://schemas.openxmlformats.org/officeDocument/2006/relationships" r:id="R657e99fda4cf4ac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32" customHeight="1">
      <x:c r="A1" s="8" t="str">
        <x:v>Register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title</x:v>
      </x:c>
      <x:c r="C3" s="7" t="str">
        <x:v>owner</x:v>
      </x:c>
      <x:c r="D3" s="7" t="str">
        <x:v>cause</x:v>
      </x:c>
      <x:c r="E3" s="7" t="str">
        <x:v>event</x:v>
      </x:c>
      <x:c r="F3" s="7" t="str">
        <x:v>impact</x:v>
      </x:c>
      <x:c r="G3" s="7" t="str">
        <x:v>objective</x:v>
      </x:c>
      <x:c r="H3" s="7" t="str">
        <x:v>appetite</x:v>
      </x:c>
      <x:c r="I3" s="7" t="str">
        <x:v>incomplete</x:v>
      </x:c>
      <x:c r="J3" s="7" t="str">
        <x:v>evidence</x:v>
      </x:c>
    </x:row>
    <x:row r="4" ht="38" customHeight="1">
      <x:c r="A4" s="4" t="str">
        <x:v>R1</x:v>
      </x:c>
      <x:c r="B4" s="4" t="str">
        <x:v>Gián đoạn nguồn cung</x:v>
      </x:c>
      <x:c r="C4" s="4" t="str">
        <x:v>COO</x:v>
      </x:c>
      <x:c r="D4" s="4" t="str">
        <x:v>Hai suppliers cùng cảng</x:v>
      </x:c>
      <x:c r="E4" s="4" t="str">
        <x:v>Cảng chung dừng dài hơn buffer</x:v>
      </x:c>
      <x:c r="F4" s="4" t="str">
        <x:v>Thiếu hàng và giảm contribution</x:v>
      </x:c>
      <x:c r="G4" s="4" t="str">
        <x:v>Bảo vệ cash và khả năng giao hàng</x:v>
      </x:c>
      <x:c r="H4" s="4" t="str">
        <x:v>breach</x:v>
      </x:c>
      <x:c r="I4" s="5" t="b">
        <x:v>0</x:v>
      </x:c>
      <x:c r="J4" s="4" t="str">
        <x:v>["SYN1"]</x:v>
      </x:c>
    </x:row>
    <x:row r="5" ht="38" customHeight="1">
      <x:c r="A5" s="4" t="str">
        <x:v>R2</x:v>
      </x:c>
      <x:c r="B5" s="4" t="str">
        <x:v>Thiếu hụt thanh khoản</x:v>
      </x:c>
      <x:c r="C5" s="4" t="str">
        <x:v>CFO</x:v>
      </x:c>
      <x:c r="D5" s="4" t="str">
        <x:v>Khách hàng trả chậm</x:v>
      </x:c>
      <x:c r="E5" s="4" t="str">
        <x:v>Thu tiền trễ hơn hạn thanh toán</x:v>
      </x:c>
      <x:c r="F5" s="4" t="str">
        <x:v>Cash xuống dưới mức sàn</x:v>
      </x:c>
      <x:c r="G5" s="4" t="str">
        <x:v>Bảo vệ cash và khả năng giao hàng</x:v>
      </x:c>
      <x:c r="H5" s="4" t="str">
        <x:v>capacity_breach</x:v>
      </x:c>
      <x:c r="I5" s="5" t="b">
        <x:v>0</x:v>
      </x:c>
      <x:c r="J5" s="4" t="str">
        <x:v>["SYN1"]</x:v>
      </x:c>
    </x:row>
    <x:row r="6" ht="38" customHeight="1">
      <x:c r="A6" s="4" t="str">
        <x:v>R3</x:v>
      </x:c>
      <x:c r="B6" s="4" t="str">
        <x:v>Chất lượng và thu hồi</x:v>
      </x:c>
      <x:c r="C6" s="4" t="str">
        <x:v>Quality Director</x:v>
      </x:c>
      <x:c r="D6" s="4" t="str">
        <x:v>Sai lệch quá trình đóng gói</x:v>
      </x:c>
      <x:c r="E6" s="4" t="str">
        <x:v>Batch phải thu hồi</x:v>
      </x:c>
      <x:c r="F6" s="4" t="str">
        <x:v>Chi phí recall và mất service</x:v>
      </x:c>
      <x:c r="G6" s="4" t="str">
        <x:v>Bảo vệ cash và khả năng giao hàng</x:v>
      </x:c>
      <x:c r="H6" s="4" t="str">
        <x:v>UNKNOWN</x:v>
      </x:c>
      <x:c r="I6" s="5" t="b">
        <x:v>1</x:v>
      </x:c>
      <x:c r="J6" s="4" t="str">
        <x:v>["SYN1"]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90e5f0b4fe34c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2" customHeight="1">
      <x:c r="A1" s="8" t="str">
        <x:v>Assessment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risk_id</x:v>
      </x:c>
      <x:c r="C3" s="7" t="str">
        <x:v>method_id</x:v>
      </x:c>
      <x:c r="D3" s="7" t="str">
        <x:v>basis</x:v>
      </x:c>
      <x:c r="E3" s="7" t="str">
        <x:v>as_of</x:v>
      </x:c>
      <x:c r="F3" s="7" t="str">
        <x:v>horizon</x:v>
      </x:c>
      <x:c r="G3" s="7" t="str">
        <x:v>impact</x:v>
      </x:c>
      <x:c r="H3" s="7" t="str">
        <x:v>likelihood</x:v>
      </x:c>
      <x:c r="I3" s="7" t="str">
        <x:v>rating</x:v>
      </x:c>
      <x:c r="J3" s="7" t="str">
        <x:v>rationale</x:v>
      </x:c>
      <x:c r="K3" s="7" t="str">
        <x:v>evidence_ids</x:v>
      </x:c>
      <x:c r="L3" s="7" t="str">
        <x:v>approval</x:v>
      </x:c>
    </x:row>
    <x:row r="4" ht="45" customHeight="1">
      <x:c r="A4" s="4" t="str">
        <x:v>A1</x:v>
      </x:c>
      <x:c r="B4" s="4" t="str">
        <x:v>R1</x:v>
      </x:c>
      <x:c r="C4" s="4" t="str">
        <x:v>M1</x:v>
      </x:c>
      <x:c r="D4" s="4" t="str">
        <x:v>current</x:v>
      </x:c>
      <x:c r="E4" s="4" t="str">
        <x:v>2026-09-03</x:v>
      </x:c>
      <x:c r="F4" s="4" t="str">
        <x:v>Q4-2026</x:v>
      </x:c>
      <x:c r="G4" s="4" t="n">
        <x:v>4</x:v>
      </x:c>
      <x:c r="H4" s="4" t="n">
        <x:v>3</x:v>
      </x:c>
      <x:c r="I4" s="4" t="str">
        <x:v>High</x:v>
      </x:c>
      <x:c r="J4" s="4" t="str">
        <x:v>Synthetic rating để kiểm tra hiển thị; R3 thiếu dữ liệu.</x:v>
      </x:c>
      <x:c r="K4" s="4" t="str">
        <x:v>["SYN1"]</x:v>
      </x:c>
      <x:c r="L4" s="4" t="str">
        <x:v>approved</x:v>
      </x:c>
    </x:row>
    <x:row r="5" ht="45" customHeight="1">
      <x:c r="A5" s="4" t="str">
        <x:v>A2</x:v>
      </x:c>
      <x:c r="B5" s="4" t="str">
        <x:v>R2</x:v>
      </x:c>
      <x:c r="C5" s="4" t="str">
        <x:v>M1</x:v>
      </x:c>
      <x:c r="D5" s="4" t="str">
        <x:v>current</x:v>
      </x:c>
      <x:c r="E5" s="4" t="str">
        <x:v>2026-09-03</x:v>
      </x:c>
      <x:c r="F5" s="4" t="str">
        <x:v>Q4-2026</x:v>
      </x:c>
      <x:c r="G5" s="4" t="n">
        <x:v>5</x:v>
      </x:c>
      <x:c r="H5" s="4" t="n">
        <x:v>4</x:v>
      </x:c>
      <x:c r="I5" s="4" t="str">
        <x:v>Critical</x:v>
      </x:c>
      <x:c r="J5" s="4" t="str">
        <x:v>Synthetic rating để kiểm tra hiển thị; R3 thiếu dữ liệu.</x:v>
      </x:c>
      <x:c r="K5" s="4" t="str">
        <x:v>["SYN1"]</x:v>
      </x:c>
      <x:c r="L5" s="4" t="str">
        <x:v>approved</x:v>
      </x:c>
    </x:row>
    <x:row r="6" ht="45" customHeight="1">
      <x:c r="A6" s="4" t="str">
        <x:v>A3</x:v>
      </x:c>
      <x:c r="B6" s="4" t="str">
        <x:v>R3</x:v>
      </x:c>
      <x:c r="C6" s="4" t="str">
        <x:v>M1</x:v>
      </x:c>
      <x:c r="D6" s="4" t="str">
        <x:v>current</x:v>
      </x:c>
      <x:c r="E6" s="4" t="str">
        <x:v>2026-09-03</x:v>
      </x:c>
      <x:c r="F6" s="4" t="str">
        <x:v>Q4-2026</x:v>
      </x:c>
      <x:c r="G6" s="4"/>
      <x:c r="H6" s="4"/>
      <x:c r="I6" s="4"/>
      <x:c r="J6" s="4" t="str">
        <x:v>Synthetic rating để kiểm tra hiển thị; R3 thiếu dữ liệu.</x:v>
      </x:c>
      <x:c r="K6" s="4" t="str">
        <x:v>["SYN1"]</x:v>
      </x:c>
      <x:c r="L6" s="4" t="str">
        <x:v>approved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d7fc74d275342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2" customHeight="1">
      <x:c r="A1" s="8" t="str">
        <x:v>Taxonomy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label</x:v>
      </x:c>
      <x:c r="C3" s="7" t="str">
        <x:v>level</x:v>
      </x:c>
      <x:c r="D3" s="7" t="str">
        <x:v>parent_id</x:v>
      </x:c>
    </x:row>
    <x:row r="4" ht="38" customHeight="1">
      <x:c r="A4" s="4" t="str">
        <x:v>T0</x:v>
      </x:c>
      <x:c r="B4" s="4" t="str">
        <x:v>Enterprise exposure</x:v>
      </x:c>
      <x:c r="C4" s="4" t="n">
        <x:v>0</x:v>
      </x:c>
      <x:c r="D4" s="4"/>
    </x:row>
    <x:row r="5" ht="38" customHeight="1">
      <x:c r="A5" s="4" t="str">
        <x:v>T1</x:v>
      </x:c>
      <x:c r="B5" s="4" t="str">
        <x:v>Continuity và liquidity</x:v>
      </x:c>
      <x:c r="C5" s="4" t="n">
        <x:v>1</x:v>
      </x:c>
      <x:c r="D5" s="4" t="str">
        <x:v>T0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7f15c401b9540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2" customHeight="1">
      <x:c r="A1" s="8" t="str">
        <x:v>KRI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label</x:v>
      </x:c>
      <x:c r="C3" s="7" t="str">
        <x:v>value</x:v>
      </x:c>
      <x:c r="D3" s="7" t="str">
        <x:v>quality</x:v>
      </x:c>
      <x:c r="E3" s="7" t="str">
        <x:v>approval</x:v>
      </x:c>
      <x:c r="F3" s="7" t="str">
        <x:v>status</x:v>
      </x:c>
      <x:c r="G3" s="7" t="str">
        <x:v>unit</x:v>
      </x:c>
      <x:c r="H3" s="7" t="str">
        <x:v>currency</x:v>
      </x:c>
      <x:c r="I3" s="7" t="str">
        <x:v>horizon</x:v>
      </x:c>
      <x:c r="J3" s="7" t="str">
        <x:v>observed_at</x:v>
      </x:c>
      <x:c r="K3" s="7" t="str">
        <x:v>action</x:v>
      </x:c>
    </x:row>
    <x:row r="4" ht="38" customHeight="1">
      <x:c r="A4" s="4" t="str">
        <x:v>K1</x:v>
      </x:c>
      <x:c r="B4" s="4" t="str">
        <x:v>Capacity thiếu hụt</x:v>
      </x:c>
      <x:c r="C4" s="4" t="n">
        <x:v>200</x:v>
      </x:c>
      <x:c r="D4" s="4" t="str">
        <x:v>valid</x:v>
      </x:c>
      <x:c r="E4" s="4" t="str">
        <x:v>approved</x:v>
      </x:c>
      <x:c r="F4" s="4" t="str">
        <x:f>IF(E4&lt;&gt;"approved","DRAFT",IF(OR(D4&lt;&gt;"valid",ISBLANK(C4)),"UNKNOWN",IF(OR(AND('Rules'!B6="&gt;",C4&gt;'Rules'!C6),AND('Rules'!B6="&gt;=",C4&gt;='Rules'!C6),AND('Rules'!B6="&lt;",C4&lt;'Rules'!C6),AND('Rules'!B6="&lt;=",C4&lt;='Rules'!C6)),'Rules'!D6,IF(OR(AND('Rules'!B5="&gt;",C4&gt;'Rules'!C5),AND('Rules'!B5="&gt;=",C4&gt;='Rules'!C5),AND('Rules'!B5="&lt;",C4&lt;'Rules'!C5),AND('Rules'!B5="&lt;=",C4&lt;='Rules'!C5)),'Rules'!D5,IF(OR(AND('Rules'!B4="&gt;",C4&gt;'Rules'!C4),AND('Rules'!B4="&gt;=",C4&gt;='Rules'!C4),AND('Rules'!B4="&lt;",C4&lt;'Rules'!C4),AND('Rules'!B4="&lt;=",C4&lt;='Rules'!C4)),'Rules'!D4,"within")))))</x:f>
        <x:v>breach</x:v>
      </x:c>
      <x:c r="G4" s="4" t="str">
        <x:v>units</x:v>
      </x:c>
      <x:c r="H4" s="4" t="str">
        <x:v>N/A</x:v>
      </x:c>
      <x:c r="I4" s="4" t="str">
        <x:v>Q4-2026</x:v>
      </x:c>
      <x:c r="J4" s="4" t="str">
        <x:v>2026-09-03</x:v>
      </x:c>
      <x:c r="K4" s="4" t="str">
        <x:v>Xác nhận nguồn thay thế</x:v>
      </x:c>
    </x:row>
    <x:row r="5" ht="38" customHeight="1">
      <x:c r="A5" s="4" t="str">
        <x:v>K2</x:v>
      </x:c>
      <x:c r="B5" s="4" t="str">
        <x:v>Cash cuối kỳ</x:v>
      </x:c>
      <x:c r="C5" s="4" t="n">
        <x:v>-2000</x:v>
      </x:c>
      <x:c r="D5" s="4" t="str">
        <x:v>valid</x:v>
      </x:c>
      <x:c r="E5" s="4" t="str">
        <x:v>approved</x:v>
      </x:c>
      <x:c r="F5" s="4" t="str">
        <x:f>IF(E5&lt;&gt;"approved","DRAFT",IF(OR(D5&lt;&gt;"valid",ISBLANK(C5)),"UNKNOWN",IF(OR(AND('Rules'!B9="&gt;",C5&gt;'Rules'!C9),AND('Rules'!B9="&gt;=",C5&gt;='Rules'!C9),AND('Rules'!B9="&lt;",C5&lt;'Rules'!C9),AND('Rules'!B9="&lt;=",C5&lt;='Rules'!C9)),'Rules'!D9,IF(OR(AND('Rules'!B8="&gt;",C5&gt;'Rules'!C8),AND('Rules'!B8="&gt;=",C5&gt;='Rules'!C8),AND('Rules'!B8="&lt;",C5&lt;'Rules'!C8),AND('Rules'!B8="&lt;=",C5&lt;='Rules'!C8)),'Rules'!D8,IF(OR(AND('Rules'!B7="&gt;",C5&gt;'Rules'!C7),AND('Rules'!B7="&gt;=",C5&gt;='Rules'!C7),AND('Rules'!B7="&lt;",C5&lt;'Rules'!C7),AND('Rules'!B7="&lt;=",C5&lt;='Rules'!C7)),'Rules'!D7,"within")))))</x:f>
        <x:v>capacity_breach</x:v>
      </x:c>
      <x:c r="G5" s="4" t="str">
        <x:v>triệu</x:v>
      </x:c>
      <x:c r="H5" s="4" t="str">
        <x:v>VND</x:v>
      </x:c>
      <x:c r="I5" s="4" t="str">
        <x:v>Q4-2026</x:v>
      </x:c>
      <x:c r="J5" s="4" t="str">
        <x:v>2026-09-03</x:v>
      </x:c>
      <x:c r="K5" s="4" t="str">
        <x:v>Escalate CFO/Board và cash plan</x:v>
      </x:c>
    </x:row>
    <x:row r="6" ht="38" customHeight="1">
      <x:c r="A6" s="4" t="str">
        <x:v>K3</x:v>
      </x:c>
      <x:c r="B6" s="4" t="str">
        <x:v>Complaint rate</x:v>
      </x:c>
      <x:c r="C6" s="4"/>
      <x:c r="D6" s="4" t="str">
        <x:v>missing</x:v>
      </x:c>
      <x:c r="E6" s="4" t="str">
        <x:v>approved</x:v>
      </x:c>
      <x:c r="F6" s="4" t="str">
        <x:f>IF(E6&lt;&gt;"approved","DRAFT",IF(OR(D6&lt;&gt;"valid",ISBLANK(C6)),"UNKNOWN",IF(OR(AND('Rules'!B12="&gt;",C6&gt;'Rules'!C12),AND('Rules'!B12="&gt;=",C6&gt;='Rules'!C12),AND('Rules'!B12="&lt;",C6&lt;'Rules'!C12),AND('Rules'!B12="&lt;=",C6&lt;='Rules'!C12)),'Rules'!D12,IF(OR(AND('Rules'!B11="&gt;",C6&gt;'Rules'!C11),AND('Rules'!B11="&gt;=",C6&gt;='Rules'!C11),AND('Rules'!B11="&lt;",C6&lt;'Rules'!C11),AND('Rules'!B11="&lt;=",C6&lt;='Rules'!C11)),'Rules'!D11,IF(OR(AND('Rules'!B10="&gt;",C6&gt;'Rules'!C10),AND('Rules'!B10="&gt;=",C6&gt;='Rules'!C10),AND('Rules'!B10="&lt;",C6&lt;'Rules'!C10),AND('Rules'!B10="&lt;=",C6&lt;='Rules'!C10)),'Rules'!D10,"within")))))</x:f>
        <x:v>UNKNOWN</x:v>
      </x:c>
      <x:c r="G6" s="4" t="str">
        <x:v>ratio</x:v>
      </x:c>
      <x:c r="H6" s="4" t="str">
        <x:v>N/A</x:v>
      </x:c>
      <x:c r="I6" s="4" t="str">
        <x:v>Q4-2026</x:v>
      </x:c>
      <x:c r="J6" s="4" t="str">
        <x:v>2026-09-03</x:v>
      </x:c>
      <x:c r="K6" s="4" t="str">
        <x:v>Xác minh complaint và batch</x:v>
      </x:c>
    </x:row>
  </x:sheetData>
  <x:mergeCells>
    <x:mergeCell ref="A1:K1"/>
    <x:mergeCell ref="A2:K2"/>
  </x:mergeCells>
  <x:conditionalFormatting sqref="F4:F6">
    <x:cfRule type="containsText" dxfId="0" priority="1" operator="containsText" text="breach"/>
  </x:conditionalFormatting>
  <x:pageMargins left="0.7" right="0.7" top="0.75" bottom="0.75" header="0.3" footer="0.3"/>
  <x:tableParts count="1">
    <x:tablePart xmlns:r="http://schemas.openxmlformats.org/officeDocument/2006/relationships" r:id="R5f1d5ceb40164e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2" customHeight="1">
      <x:c r="A1" s="8" t="str">
        <x:v>Rules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metric</x:v>
      </x:c>
      <x:c r="B3" s="7" t="str">
        <x:v>op</x:v>
      </x:c>
      <x:c r="C3" s="7" t="str">
        <x:v>threshold</x:v>
      </x:c>
      <x:c r="D3" s="7" t="str">
        <x:v>severity</x:v>
      </x:c>
    </x:row>
    <x:row r="4" ht="38" customHeight="1">
      <x:c r="A4" s="4" t="str">
        <x:v>K1</x:v>
      </x:c>
      <x:c r="B4" s="4" t="str">
        <x:v>&gt;=</x:v>
      </x:c>
      <x:c r="C4" s="4" t="n">
        <x:v>100</x:v>
      </x:c>
      <x:c r="D4" s="4" t="str">
        <x:v>warning</x:v>
      </x:c>
    </x:row>
    <x:row r="5" ht="38" customHeight="1">
      <x:c r="A5" s="4" t="str">
        <x:v>K1</x:v>
      </x:c>
      <x:c r="B5" s="4" t="str">
        <x:v>&gt;=</x:v>
      </x:c>
      <x:c r="C5" s="4" t="n">
        <x:v>200</x:v>
      </x:c>
      <x:c r="D5" s="4" t="str">
        <x:v>breach</x:v>
      </x:c>
    </x:row>
    <x:row r="6" ht="38" customHeight="1">
      <x:c r="A6" s="4" t="str">
        <x:v>K1</x:v>
      </x:c>
      <x:c r="B6" s="4" t="str">
        <x:v>&gt;=</x:v>
      </x:c>
      <x:c r="C6" s="4" t="n">
        <x:v>300</x:v>
      </x:c>
      <x:c r="D6" s="4" t="str">
        <x:v>capacity_breach</x:v>
      </x:c>
    </x:row>
    <x:row r="7" ht="38" customHeight="1">
      <x:c r="A7" s="4" t="str">
        <x:v>K2</x:v>
      </x:c>
      <x:c r="B7" s="4" t="str">
        <x:v>&lt;=</x:v>
      </x:c>
      <x:c r="C7" s="4" t="n">
        <x:v>5000</x:v>
      </x:c>
      <x:c r="D7" s="4" t="str">
        <x:v>warning</x:v>
      </x:c>
    </x:row>
    <x:row r="8" ht="38" customHeight="1">
      <x:c r="A8" s="4" t="str">
        <x:v>K2</x:v>
      </x:c>
      <x:c r="B8" s="4" t="str">
        <x:v>&lt;=</x:v>
      </x:c>
      <x:c r="C8" s="4" t="n">
        <x:v>0</x:v>
      </x:c>
      <x:c r="D8" s="4" t="str">
        <x:v>breach</x:v>
      </x:c>
    </x:row>
    <x:row r="9" ht="38" customHeight="1">
      <x:c r="A9" s="4" t="str">
        <x:v>K2</x:v>
      </x:c>
      <x:c r="B9" s="4" t="str">
        <x:v>&lt;=</x:v>
      </x:c>
      <x:c r="C9" s="4" t="n">
        <x:v>-1000</x:v>
      </x:c>
      <x:c r="D9" s="4" t="str">
        <x:v>capacity_breach</x:v>
      </x:c>
    </x:row>
    <x:row r="10" ht="38" customHeight="1">
      <x:c r="A10" s="4" t="str">
        <x:v>K3</x:v>
      </x:c>
      <x:c r="B10" s="4" t="str">
        <x:v>&gt;=</x:v>
      </x:c>
      <x:c r="C10" s="4" t="n">
        <x:v>0.01</x:v>
      </x:c>
      <x:c r="D10" s="4" t="str">
        <x:v>warning</x:v>
      </x:c>
    </x:row>
    <x:row r="11" ht="38" customHeight="1">
      <x:c r="A11" s="4" t="str">
        <x:v>K3</x:v>
      </x:c>
      <x:c r="B11" s="4" t="str">
        <x:v>&gt;=</x:v>
      </x:c>
      <x:c r="C11" s="4" t="n">
        <x:v>0.02</x:v>
      </x:c>
      <x:c r="D11" s="4" t="str">
        <x:v>breach</x:v>
      </x:c>
    </x:row>
    <x:row r="12" ht="38" customHeight="1">
      <x:c r="A12" s="4" t="str">
        <x:v>K3</x:v>
      </x:c>
      <x:c r="B12" s="4" t="str">
        <x:v>&gt;=</x:v>
      </x:c>
      <x:c r="C12" s="4" t="n">
        <x:v>0.05</x:v>
      </x:c>
      <x:c r="D12" s="4" t="str">
        <x:v>capacity_breach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7744566b15546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32" customHeight="1">
      <x:c r="A1" s="8" t="str">
        <x:v>Controls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risk_ids</x:v>
      </x:c>
      <x:c r="C3" s="7" t="str">
        <x:v>label</x:v>
      </x:c>
      <x:c r="D3" s="7" t="str">
        <x:v>owner</x:v>
      </x:c>
      <x:c r="E3" s="7" t="str">
        <x:v>state</x:v>
      </x:c>
      <x:c r="F3" s="7" t="str">
        <x:v>design_conclusion</x:v>
      </x:c>
      <x:c r="G3" s="7" t="str">
        <x:v>operating_conclusion</x:v>
      </x:c>
      <x:c r="H3" s="7" t="str">
        <x:v>design_evidence_ids</x:v>
      </x:c>
      <x:c r="I3" s="7" t="str">
        <x:v>operating_evidence_ids</x:v>
      </x:c>
      <x:c r="J3" s="7" t="str">
        <x:v>rcsa</x:v>
      </x:c>
    </x:row>
    <x:row r="4" ht="38" customHeight="1">
      <x:c r="A4" s="4" t="str">
        <x:v>C1</x:v>
      </x:c>
      <x:c r="B4" s="4" t="str">
        <x:v>["R1"]</x:v>
      </x:c>
      <x:c r="C4" s="4" t="str">
        <x:v>Nguồn cung dự phòng</x:v>
      </x:c>
      <x:c r="D4" s="4" t="str">
        <x:v>COO</x:v>
      </x:c>
      <x:c r="E4" s="4" t="str">
        <x:v>designed</x:v>
      </x:c>
      <x:c r="F4" s="4" t="str">
        <x:v>Thiết kế có phương án alternate</x:v>
      </x:c>
      <x:c r="G4" s="4" t="str">
        <x:v>Chưa thử giao hàng</x:v>
      </x:c>
      <x:c r="H4" s="4" t="str">
        <x:v>["SYN1"]</x:v>
      </x:c>
      <x:c r="I4" s="4" t="str">
        <x:v>[]</x:v>
      </x:c>
      <x:c r="J4" s="4" t="str">
        <x:v>Self-assessment; chưa độc lập kiểm thử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67a53148ab84f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32" customHeight="1">
      <x:c r="A1" s="8" t="str">
        <x:v>Scenarios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label</x:v>
      </x:c>
      <x:c r="C3" s="7" t="str">
        <x:v>kind</x:v>
      </x:c>
      <x:c r="D3" s="7" t="str">
        <x:v>horizon</x:v>
      </x:c>
      <x:c r="E3" s="7" t="str">
        <x:v>baseline</x:v>
      </x:c>
      <x:c r="F3" s="7" t="str">
        <x:v>assumptions</x:v>
      </x:c>
      <x:c r="G3" s="7" t="str">
        <x:v>transmission</x:v>
      </x:c>
      <x:c r="H3" s="7" t="str">
        <x:v>result</x:v>
      </x:c>
      <x:c r="I3" s="7" t="str">
        <x:v>limitations</x:v>
      </x:c>
      <x:c r="J3" s="7" t="str">
        <x:v>evidence_ids</x:v>
      </x:c>
    </x:row>
    <x:row r="4" ht="75" customHeight="1">
      <x:c r="A4" s="4" t="str">
        <x:v>SC1</x:v>
      </x:c>
      <x:c r="B4" s="4" t="str">
        <x:v>Port outage + chậm thu tiền</x:v>
      </x:c>
      <x:c r="C4" s="4" t="str">
        <x:v>stress</x:v>
      </x:c>
      <x:c r="D4" s="4" t="str">
        <x:v>Q4-2026</x:v>
      </x:c>
      <x:c r="E4" s="4" t="str">
        <x:v>Demand 1000, capacity1000; opening cash20000 triệu</x:v>
      </x:c>
      <x:c r="F4" s="4" t="str">
        <x:v>["Capacity800","Contribution40 triệu/unit","Recovery2000 triệu","Penalty1000 triệu","Inflows8000 triệu","Outflows30000 triệu"]</x:v>
      </x:c>
      <x:c r="G4" s="4" t="str">
        <x:v>Port dừng → capacity giảm → contribution mất; thu tiền trễ → cash breach</x:v>
      </x:c>
      <x:c r="H4" s="4" t="str">
        <x:v>Incremental loss 11000 triệu VND; closing cash -2000 triệu VND</x:v>
      </x:c>
      <x:c r="I4" s="4" t="str">
        <x:v>Synthetic combined stress; không có probability/forecast; không cộng cash balance với P&amp;L loss.</x:v>
      </x:c>
      <x:c r="J4" s="4" t="str">
        <x:v>["SYN1"]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6d5ed4bf2b445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32" customHeight="1">
      <x:c r="A1" s="8" t="str">
        <x:v>Treatments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risk_ids</x:v>
      </x:c>
      <x:c r="C3" s="7" t="str">
        <x:v>option</x:v>
      </x:c>
      <x:c r="D3" s="7" t="str">
        <x:v>action</x:v>
      </x:c>
      <x:c r="E3" s="7" t="str">
        <x:v>owner</x:v>
      </x:c>
      <x:c r="F3" s="7" t="str">
        <x:v>deadline</x:v>
      </x:c>
      <x:c r="G3" s="7" t="str">
        <x:v>status</x:v>
      </x:c>
      <x:c r="H3" s="7" t="str">
        <x:v>cost</x:v>
      </x:c>
      <x:c r="I3" s="7" t="str">
        <x:v>currency</x:v>
      </x:c>
      <x:c r="J3" s="7" t="str">
        <x:v>lead_time</x:v>
      </x:c>
      <x:c r="K3" s="7" t="str">
        <x:v>resource_constraint</x:v>
      </x:c>
      <x:c r="L3" s="7" t="str">
        <x:v>secondary_risk</x:v>
      </x:c>
      <x:c r="M3" s="7" t="str">
        <x:v>expected_benefit</x:v>
      </x:c>
      <x:c r="N3" s="7" t="str">
        <x:v>no_action_case</x:v>
      </x:c>
      <x:c r="O3" s="7" t="str">
        <x:v>target</x:v>
      </x:c>
      <x:c r="P3" s="7" t="str">
        <x:v>target_assessment_ids</x:v>
      </x:c>
      <x:c r="Q3" s="7" t="str">
        <x:v>benefit_basis</x:v>
      </x:c>
      <x:c r="R3" s="7" t="str">
        <x:v>acceptance_authority</x:v>
      </x:c>
      <x:c r="S3" s="7" t="str">
        <x:v>evidence_ids</x:v>
      </x:c>
    </x:row>
    <x:row r="4" ht="60" customHeight="1">
      <x:c r="A4" s="4" t="str">
        <x:v>TR1</x:v>
      </x:c>
      <x:c r="B4" s="4" t="str">
        <x:v>["R1","R2"]</x:v>
      </x:c>
      <x:c r="C4" s="4" t="str">
        <x:v>reduce</x:v>
      </x:c>
      <x:c r="D4" s="4" t="str">
        <x:v>Thử alternate port và cash contingency</x:v>
      </x:c>
      <x:c r="E4" s="4" t="str">
        <x:v>COO + CFO</x:v>
      </x:c>
      <x:c r="F4" s="4" t="str">
        <x:v>2026-09-20</x:v>
      </x:c>
      <x:c r="G4" s="4" t="str">
        <x:v>proposed</x:v>
      </x:c>
      <x:c r="H4" s="4" t="n">
        <x:v>500</x:v>
      </x:c>
      <x:c r="I4" s="4" t="str">
        <x:v>VND</x:v>
      </x:c>
      <x:c r="J4" s="4" t="str">
        <x:v>2 tuần</x:v>
      </x:c>
      <x:c r="K4" s="4" t="str">
        <x:v>Cần 2 người; mới có 1</x:v>
      </x:c>
      <x:c r="L4" s="4" t="str">
        <x:v>Alternate port tăng transit và phí</x:v>
      </x:c>
      <x:c r="M4" s="4" t="str">
        <x:v>Giảm thời gian gián đoạn; chưa đo benefit thực tế</x:v>
      </x:c>
      <x:c r="N4" s="4" t="str">
        <x:v>Synthetic: giữ exposure gián đoạn và cash shortfall của SC1.</x:v>
      </x:c>
      <x:c r="O4" s="4" t="str">
        <x:v>Synthetic: khôi phục khả năng giao hàng; residual exposure chưa định lượng, chờ thử alternate port.</x:v>
      </x:c>
      <x:c r="P4" s="4" t="str">
        <x:v>[]</x:v>
      </x:c>
      <x:c r="Q4" s="4" t="str">
        <x:v>assumed</x:v>
      </x:c>
      <x:c r="R4" s="4"/>
      <x:c r="S4" s="4" t="str">
        <x:v>["SYN1"]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e321b94f938946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2" customHeight="1">
      <x:c r="A1" s="8" t="str">
        <x:v>Losses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risk_ids</x:v>
      </x:c>
      <x:c r="C3" s="7" t="str">
        <x:v>amount</x:v>
      </x:c>
      <x:c r="D3" s="7" t="str">
        <x:v>currency</x:v>
      </x:c>
      <x:c r="E3" s="7" t="str">
        <x:v>horizon</x:v>
      </x:c>
      <x:c r="F3" s="7" t="str">
        <x:v>scope</x:v>
      </x:c>
      <x:c r="G3" s="7" t="str">
        <x:v>eliminated</x:v>
      </x:c>
      <x:c r="H3" s="7" t="str">
        <x:v>evidence_ids</x:v>
      </x:c>
    </x:row>
    <x:row r="4" ht="38" customHeight="1">
      <x:c r="A4" s="4" t="str">
        <x:v>L1</x:v>
      </x:c>
      <x:c r="B4" s="4" t="str">
        <x:v>["R1","R2"]</x:v>
      </x:c>
      <x:c r="C4" s="4" t="n">
        <x:v>11000</x:v>
      </x:c>
      <x:c r="D4" s="4" t="str">
        <x:v>VND</x:v>
      </x:c>
      <x:c r="E4" s="4" t="str">
        <x:v>Q4-2026</x:v>
      </x:c>
      <x:c r="F4" s="4" t="str">
        <x:v>Group</x:v>
      </x:c>
      <x:c r="G4" s="5" t="b">
        <x:v>0</x:v>
      </x:c>
      <x:c r="H4" s="4" t="str">
        <x:v>["SYN1"]</x:v>
      </x:c>
    </x:row>
    <x:row r="5" ht="38" customHeight="1">
      <x:c r="A5" s="4" t="str">
        <x:v>L2</x:v>
      </x:c>
      <x:c r="B5" s="4" t="str">
        <x:v>["R3"]</x:v>
      </x:c>
      <x:c r="C5" s="4" t="n">
        <x:v>2000</x:v>
      </x:c>
      <x:c r="D5" s="4" t="str">
        <x:v>VND</x:v>
      </x:c>
      <x:c r="E5" s="4" t="str">
        <x:v>Q4-2026</x:v>
      </x:c>
      <x:c r="F5" s="4" t="str">
        <x:v>Group</x:v>
      </x:c>
      <x:c r="G5" s="5" t="b">
        <x:v>0</x:v>
      </x:c>
      <x:c r="H5" s="4" t="str">
        <x:v>["SYN1"]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c754c2f019b4e1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32" customHeight="1">
      <x:c r="A1" s="8" t="str">
        <x:v>Observations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metric_id</x:v>
      </x:c>
      <x:c r="C3" s="7" t="str">
        <x:v>as_of</x:v>
      </x:c>
      <x:c r="D3" s="7" t="str">
        <x:v>value</x:v>
      </x:c>
      <x:c r="E3" s="7" t="str">
        <x:v>quality</x:v>
      </x:c>
      <x:c r="F3" s="7" t="str">
        <x:v>evidence_ids</x:v>
      </x:c>
      <x:c r="G3" s="7" t="str">
        <x:v>unit</x:v>
      </x:c>
      <x:c r="H3" s="7" t="str">
        <x:v>currency</x:v>
      </x:c>
      <x:c r="I3" s="7" t="str">
        <x:v>horizon</x:v>
      </x:c>
      <x:c r="J3" s="7" t="str">
        <x:v>scope</x:v>
      </x:c>
    </x:row>
    <x:row r="4" ht="38" customHeight="1">
      <x:c r="A4" s="4" t="str">
        <x:v>O11</x:v>
      </x:c>
      <x:c r="B4" s="4" t="str">
        <x:v>K1</x:v>
      </x:c>
      <x:c r="C4" s="4" t="str">
        <x:v>2026-07-31</x:v>
      </x:c>
      <x:c r="D4" s="4" t="n">
        <x:v>80</x:v>
      </x:c>
      <x:c r="E4" s="4" t="str">
        <x:v>valid</x:v>
      </x:c>
      <x:c r="F4" s="4" t="str">
        <x:v>["SYN1"]</x:v>
      </x:c>
      <x:c r="G4" s="4" t="str">
        <x:v>units</x:v>
      </x:c>
      <x:c r="H4" s="4" t="str">
        <x:v>N/A</x:v>
      </x:c>
      <x:c r="I4" s="4" t="str">
        <x:v>Q4-2026</x:v>
      </x:c>
      <x:c r="J4" s="4" t="str">
        <x:v>Group</x:v>
      </x:c>
    </x:row>
    <x:row r="5" ht="38" customHeight="1">
      <x:c r="A5" s="4" t="str">
        <x:v>O12</x:v>
      </x:c>
      <x:c r="B5" s="4" t="str">
        <x:v>K1</x:v>
      </x:c>
      <x:c r="C5" s="4" t="str">
        <x:v>2026-08-31</x:v>
      </x:c>
      <x:c r="D5" s="4" t="n">
        <x:v>120</x:v>
      </x:c>
      <x:c r="E5" s="4" t="str">
        <x:v>valid</x:v>
      </x:c>
      <x:c r="F5" s="4" t="str">
        <x:v>["SYN1"]</x:v>
      </x:c>
      <x:c r="G5" s="4" t="str">
        <x:v>units</x:v>
      </x:c>
      <x:c r="H5" s="4" t="str">
        <x:v>N/A</x:v>
      </x:c>
      <x:c r="I5" s="4" t="str">
        <x:v>Q4-2026</x:v>
      </x:c>
      <x:c r="J5" s="4" t="str">
        <x:v>Group</x:v>
      </x:c>
    </x:row>
    <x:row r="6" ht="38" customHeight="1">
      <x:c r="A6" s="4" t="str">
        <x:v>O13</x:v>
      </x:c>
      <x:c r="B6" s="4" t="str">
        <x:v>K1</x:v>
      </x:c>
      <x:c r="C6" s="4" t="str">
        <x:v>2026-09-03</x:v>
      </x:c>
      <x:c r="D6" s="4" t="n">
        <x:v>200</x:v>
      </x:c>
      <x:c r="E6" s="4" t="str">
        <x:v>valid</x:v>
      </x:c>
      <x:c r="F6" s="4" t="str">
        <x:v>["SYN1"]</x:v>
      </x:c>
      <x:c r="G6" s="4" t="str">
        <x:v>units</x:v>
      </x:c>
      <x:c r="H6" s="4" t="str">
        <x:v>N/A</x:v>
      </x:c>
      <x:c r="I6" s="4" t="str">
        <x:v>Q4-2026</x:v>
      </x:c>
      <x:c r="J6" s="4" t="str">
        <x:v>Group</x:v>
      </x:c>
    </x:row>
    <x:row r="7" ht="38" customHeight="1">
      <x:c r="A7" s="4" t="str">
        <x:v>O21</x:v>
      </x:c>
      <x:c r="B7" s="4" t="str">
        <x:v>K2</x:v>
      </x:c>
      <x:c r="C7" s="4" t="str">
        <x:v>2026-07-31</x:v>
      </x:c>
      <x:c r="D7" s="4" t="n">
        <x:v>8000</x:v>
      </x:c>
      <x:c r="E7" s="4" t="str">
        <x:v>valid</x:v>
      </x:c>
      <x:c r="F7" s="4" t="str">
        <x:v>["SYN1"]</x:v>
      </x:c>
      <x:c r="G7" s="4" t="str">
        <x:v>triệu</x:v>
      </x:c>
      <x:c r="H7" s="4" t="str">
        <x:v>VND</x:v>
      </x:c>
      <x:c r="I7" s="4" t="str">
        <x:v>Q4-2026</x:v>
      </x:c>
      <x:c r="J7" s="4" t="str">
        <x:v>Group</x:v>
      </x:c>
    </x:row>
    <x:row r="8" ht="38" customHeight="1">
      <x:c r="A8" s="4" t="str">
        <x:v>O22</x:v>
      </x:c>
      <x:c r="B8" s="4" t="str">
        <x:v>K2</x:v>
      </x:c>
      <x:c r="C8" s="4" t="str">
        <x:v>2026-08-31</x:v>
      </x:c>
      <x:c r="D8" s="4" t="n">
        <x:v>3000</x:v>
      </x:c>
      <x:c r="E8" s="4" t="str">
        <x:v>valid</x:v>
      </x:c>
      <x:c r="F8" s="4" t="str">
        <x:v>["SYN1"]</x:v>
      </x:c>
      <x:c r="G8" s="4" t="str">
        <x:v>triệu</x:v>
      </x:c>
      <x:c r="H8" s="4" t="str">
        <x:v>VND</x:v>
      </x:c>
      <x:c r="I8" s="4" t="str">
        <x:v>Q4-2026</x:v>
      </x:c>
      <x:c r="J8" s="4" t="str">
        <x:v>Group</x:v>
      </x:c>
    </x:row>
    <x:row r="9" ht="38" customHeight="1">
      <x:c r="A9" s="4" t="str">
        <x:v>O23</x:v>
      </x:c>
      <x:c r="B9" s="4" t="str">
        <x:v>K2</x:v>
      </x:c>
      <x:c r="C9" s="4" t="str">
        <x:v>2026-09-03</x:v>
      </x:c>
      <x:c r="D9" s="4" t="n">
        <x:v>-2000</x:v>
      </x:c>
      <x:c r="E9" s="4" t="str">
        <x:v>valid</x:v>
      </x:c>
      <x:c r="F9" s="4" t="str">
        <x:v>["SYN1"]</x:v>
      </x:c>
      <x:c r="G9" s="4" t="str">
        <x:v>triệu</x:v>
      </x:c>
      <x:c r="H9" s="4" t="str">
        <x:v>VND</x:v>
      </x:c>
      <x:c r="I9" s="4" t="str">
        <x:v>Q4-2026</x:v>
      </x:c>
      <x:c r="J9" s="4" t="str">
        <x:v>Group</x:v>
      </x:c>
    </x:row>
    <x:row r="10" ht="38" customHeight="1">
      <x:c r="A10" s="4" t="str">
        <x:v>O31</x:v>
      </x:c>
      <x:c r="B10" s="4" t="str">
        <x:v>K3</x:v>
      </x:c>
      <x:c r="C10" s="4" t="str">
        <x:v>2026-07-31</x:v>
      </x:c>
      <x:c r="D10" s="4"/>
      <x:c r="E10" s="4" t="str">
        <x:v>missing</x:v>
      </x:c>
      <x:c r="F10" s="4" t="str">
        <x:v>["SYN1"]</x:v>
      </x:c>
      <x:c r="G10" s="4" t="str">
        <x:v>ratio</x:v>
      </x:c>
      <x:c r="H10" s="4" t="str">
        <x:v>N/A</x:v>
      </x:c>
      <x:c r="I10" s="4" t="str">
        <x:v>Q4-2026</x:v>
      </x:c>
      <x:c r="J10" s="4" t="str">
        <x:v>Group</x:v>
      </x:c>
    </x:row>
    <x:row r="11" ht="38" customHeight="1">
      <x:c r="A11" s="4" t="str">
        <x:v>O32</x:v>
      </x:c>
      <x:c r="B11" s="4" t="str">
        <x:v>K3</x:v>
      </x:c>
      <x:c r="C11" s="4" t="str">
        <x:v>2026-08-31</x:v>
      </x:c>
      <x:c r="D11" s="4"/>
      <x:c r="E11" s="4" t="str">
        <x:v>missing</x:v>
      </x:c>
      <x:c r="F11" s="4" t="str">
        <x:v>["SYN1"]</x:v>
      </x:c>
      <x:c r="G11" s="4" t="str">
        <x:v>ratio</x:v>
      </x:c>
      <x:c r="H11" s="4" t="str">
        <x:v>N/A</x:v>
      </x:c>
      <x:c r="I11" s="4" t="str">
        <x:v>Q4-2026</x:v>
      </x:c>
      <x:c r="J11" s="4" t="str">
        <x:v>Group</x:v>
      </x:c>
    </x:row>
    <x:row r="12" ht="38" customHeight="1">
      <x:c r="A12" s="4" t="str">
        <x:v>O33</x:v>
      </x:c>
      <x:c r="B12" s="4" t="str">
        <x:v>K3</x:v>
      </x:c>
      <x:c r="C12" s="4" t="str">
        <x:v>2026-09-03</x:v>
      </x:c>
      <x:c r="D12" s="4"/>
      <x:c r="E12" s="4" t="str">
        <x:v>missing</x:v>
      </x:c>
      <x:c r="F12" s="4" t="str">
        <x:v>["SYN1"]</x:v>
      </x:c>
      <x:c r="G12" s="4" t="str">
        <x:v>ratio</x:v>
      </x:c>
      <x:c r="H12" s="4" t="str">
        <x:v>N/A</x:v>
      </x:c>
      <x:c r="I12" s="4" t="str">
        <x:v>Q4-2026</x:v>
      </x:c>
      <x:c r="J12" s="4" t="str">
        <x:v>Group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b64c40b01264b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 ht="32" customHeight="1">
      <x:c r="A1" s="8" t="str">
        <x:v>Sources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title</x:v>
      </x:c>
      <x:c r="C3" s="7" t="str">
        <x:v>locator</x:v>
      </x:c>
      <x:c r="D3" s="7" t="str">
        <x:v>version</x:v>
      </x:c>
      <x:c r="E3" s="7" t="str">
        <x:v>accessed_at</x:v>
      </x:c>
      <x:c r="F3" s="7" t="str">
        <x:v>kind</x:v>
      </x:c>
      <x:c r="G3" s="7" t="str">
        <x:v>status</x:v>
      </x:c>
      <x:c r="H3" s="7" t="str">
        <x:v>replaced_by</x:v>
      </x:c>
      <x:c r="I3" s="7" t="str">
        <x:v>limitations</x:v>
      </x:c>
    </x:row>
    <x:row r="4" ht="45" customHeight="1">
      <x:c r="A4" s="4" t="str">
        <x:v>SYN1</x:v>
      </x:c>
      <x:c r="B4" s="4" t="str">
        <x:v>Fixture synthetic của dự án ERM</x:v>
      </x:c>
      <x:c r="C4" s="4" t="str">
        <x:v>synthetic:fixture-v1</x:v>
      </x:c>
      <x:c r="D4" s="4" t="str">
        <x:v>1</x:v>
      </x:c>
      <x:c r="E4" s="4" t="str">
        <x:v>2026-09-03</x:v>
      </x:c>
      <x:c r="F4" s="4" t="str">
        <x:v>synthetic</x:v>
      </x:c>
      <x:c r="G4" s="4" t="str">
        <x:v>current</x:v>
      </x:c>
      <x:c r="H4" s="4"/>
      <x:c r="I4" s="4" t="str">
        <x:v>Không phải dữ liệu doanh nghiệp thực hoặc benchmark ngành.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1f23c2ab65b415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2" customHeight="1">
      <x:c r="A1" s="8" t="str">
        <x:v>Methods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version</x:v>
      </x:c>
      <x:c r="C3" s="7" t="str">
        <x:v>approval</x:v>
      </x:c>
      <x:c r="D3" s="7" t="str">
        <x:v>approved_by</x:v>
      </x:c>
      <x:c r="E3" s="7" t="str">
        <x:v>impact_levels</x:v>
      </x:c>
      <x:c r="F3" s="7" t="str">
        <x:v>likelihood_levels</x:v>
      </x:c>
      <x:c r="G3" s="7" t="str">
        <x:v>rating_basis</x:v>
      </x:c>
      <x:c r="H3" s="7" t="str">
        <x:v>horizon</x:v>
      </x:c>
    </x:row>
    <x:row r="4" ht="210" customHeight="1">
      <x:c r="A4" s="4" t="str">
        <x:v>M1</x:v>
      </x:c>
      <x:c r="B4" s="4" t="str">
        <x:v>synthetic-1</x:v>
      </x:c>
      <x:c r="C4" s="4" t="str">
        <x:v>approved</x:v>
      </x:c>
      <x:c r="D4" s="4" t="str">
        <x:v>Synthetic Board</x:v>
      </x:c>
      <x:c r="E4" s="4" t="str">
        <x:v>["Mức 1: consequence theo bảng giả định thử nghiệm, không dùng thực tế","Mức 2: consequence theo bảng giả định thử nghiệm, không dùng thực tế","Mức 3: consequence theo bảng giả định thử nghiệm, không dùng thực tế","Mức 4: consequence theo bảng giả định thử nghiệm, không dùng thực tế","Mức 5: consequence theo bảng giả định thử nghiệm, không dùng thực tế"]</x:v>
      </x:c>
      <x:c r="F4" s="4" t="str">
        <x:v>["Mức 1: likelihood theo horizon Q4, giả định thử nghiệm","Mức 2: likelihood theo horizon Q4, giả định thử nghiệm","Mức 3: likelihood theo horizon Q4, giả định thử nghiệm","Mức 4: likelihood theo horizon Q4, giả định thử nghiệm","Mức 5: likelihood theo horizon Q4, giả định thử nghiệm"]</x:v>
      </x:c>
      <x:c r="G4" s="4" t="str">
        <x:v>Synthetic categorical mapping do người lập fixture xác định; không nhân/trung bình điểm</x:v>
      </x:c>
      <x:c r="H4" s="4" t="str">
        <x:v>Q4-2026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7b5a07a529f45f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2" customHeight="1">
      <x:c r="A1" s="8" t="str">
        <x:v>Dependencies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from_risk_id</x:v>
      </x:c>
      <x:c r="C3" s="7" t="str">
        <x:v>to_risk_id</x:v>
      </x:c>
      <x:c r="D3" s="7" t="str">
        <x:v>kind</x:v>
      </x:c>
      <x:c r="E3" s="7" t="str">
        <x:v>mechanism</x:v>
      </x:c>
      <x:c r="F3" s="7" t="str">
        <x:v>evidence_ids</x:v>
      </x:c>
    </x:row>
    <x:row r="4" ht="38" customHeight="1">
      <x:c r="A4" s="4" t="str">
        <x:v>DEP1</x:v>
      </x:c>
      <x:c r="B4" s="4" t="str">
        <x:v>R1</x:v>
      </x:c>
      <x:c r="C4" s="4" t="str">
        <x:v>R2</x:v>
      </x:c>
      <x:c r="D4" s="4" t="str">
        <x:v>cascade</x:v>
      </x:c>
      <x:c r="E4" s="4" t="str">
        <x:v>Delivery delay làm chậm collection</x:v>
      </x:c>
      <x:c r="F4" s="4" t="str">
        <x:v>["SYN1"]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b4c610353d0486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 ht="32" customHeight="1">
      <x:c r="A1" s="8" t="str">
        <x:v>Handoffs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specialist</x:v>
      </x:c>
      <x:c r="C3" s="7" t="str">
        <x:v>capability_status</x:v>
      </x:c>
      <x:c r="D3" s="7" t="str">
        <x:v>version</x:v>
      </x:c>
      <x:c r="E3" s="7" t="str">
        <x:v>question</x:v>
      </x:c>
      <x:c r="F3" s="7" t="str">
        <x:v>target</x:v>
      </x:c>
      <x:c r="G3" s="7" t="str">
        <x:v>horizon</x:v>
      </x:c>
      <x:c r="H3" s="7" t="str">
        <x:v>as_of</x:v>
      </x:c>
      <x:c r="I3" s="7" t="str">
        <x:v>input_refs</x:v>
      </x:c>
      <x:c r="J3" s="7" t="str">
        <x:v>constraints</x:v>
      </x:c>
      <x:c r="K3" s="7" t="str">
        <x:v>acceptance_criteria</x:v>
      </x:c>
      <x:c r="L3" s="7" t="str">
        <x:v>output_contract</x:v>
      </x:c>
      <x:c r="M3" s="7" t="str">
        <x:v>result_status</x:v>
      </x:c>
      <x:c r="N3" s="7" t="str">
        <x:v>method</x:v>
      </x:c>
      <x:c r="O3" s="7" t="str">
        <x:v>validation_status</x:v>
      </x:c>
      <x:c r="P3" s="7" t="str">
        <x:v>limitations</x:v>
      </x:c>
      <x:c r="Q3" s="7" t="str">
        <x:v>monitoring</x:v>
      </x:c>
    </x:row>
    <x:row r="4" ht="38" customHeight="1">
      <x:c r="A4" s="4" t="str">
        <x:v>H1</x:v>
      </x:c>
      <x:c r="B4" s="4" t="str">
        <x:v>BCP</x:v>
      </x:c>
      <x:c r="C4" s="4" t="str">
        <x:v>unverified</x:v>
      </x:c>
      <x:c r="D4" s="4" t="str">
        <x:v>unknown</x:v>
      </x:c>
      <x:c r="E4" s="4" t="str">
        <x:v>BIA và recovery feasibility cho alternate port</x:v>
      </x:c>
      <x:c r="F4" s="4" t="str">
        <x:v>Group supply chain</x:v>
      </x:c>
      <x:c r="G4" s="4" t="str">
        <x:v>Q4-2026</x:v>
      </x:c>
      <x:c r="H4" s="4" t="str">
        <x:v>2026-09-03</x:v>
      </x:c>
      <x:c r="I4" s="4" t="str">
        <x:v>["R1","SYN1"]</x:v>
      </x:c>
      <x:c r="J4" s="4" t="str">
        <x:v>Không cài hoặc gửi bên ngoài</x:v>
      </x:c>
      <x:c r="K4" s="4" t="str">
        <x:v>BIA scope, verified recovery test và limitations</x:v>
      </x:c>
      <x:c r="L4" s="4" t="str">
        <x:v>Recovery alternatives và evidence</x:v>
      </x:c>
      <x:c r="M4" s="4" t="str">
        <x:v>not_run</x:v>
      </x:c>
      <x:c r="N4" s="4"/>
      <x:c r="O4" s="4"/>
      <x:c r="P4" s="4" t="str">
        <x:v>Chưa thử handoff specialist</x:v>
      </x:c>
      <x:c r="Q4" s="4" t="str">
        <x:v>Review sau exercise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46b08c00fbf74a9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 ht="32" customHeight="1">
      <x:c r="A1" s="8" t="str">
        <x:v>Warnings · SYNTHETIC · DỮ LIỆU THỬ NGHIỆM</x:v>
      </x:c>
    </x:row>
    <x:row r="2" ht="26" customHeight="1">
      <x:c r="A2" t="str">
        <x:v>Công ty Mẫu | 2026-09-03 | Q4-2026 | VND (triệu) | v1</x:v>
      </x:c>
    </x:row>
    <x:row r="3" ht="30" customHeight="1">
      <x:c r="A3" s="7" t="str">
        <x:v>id</x:v>
      </x:c>
      <x:c r="B3" s="7" t="str">
        <x:v>warning</x:v>
      </x:c>
    </x:row>
    <x:row r="4" ht="38" customHeight="1">
      <x:c r="A4" s="4" t="str">
        <x:v>Q1</x:v>
      </x:c>
      <x:c r="B4" s="4" t="str">
        <x:v>C1: no evidence; conclusion must disclose the gap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ccdbc0dec844dcd"/>
  </x:tableParts>
</x:worksheet>
</file>